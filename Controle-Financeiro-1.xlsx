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licers/slicer2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EstaPastaDeTrabalho"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github\Controle Financeiro\Controle Financeiro\"/>
    </mc:Choice>
  </mc:AlternateContent>
  <xr:revisionPtr revIDLastSave="0" documentId="8_{7C89F8C7-865B-4238-9A34-94E5E323EF4A}" xr6:coauthVersionLast="47" xr6:coauthVersionMax="47" xr10:uidLastSave="{00000000-0000-0000-0000-000000000000}"/>
  <bookViews>
    <workbookView xWindow="-120" yWindow="-120" windowWidth="20640" windowHeight="11040" tabRatio="623" activeTab="1" xr2:uid="{AC367611-E0E2-405C-82EF-C9AB919FC2D3}"/>
  </bookViews>
  <sheets>
    <sheet name="Planilha15" sheetId="15" r:id="rId1"/>
    <sheet name="Dados|Clientes" sheetId="1" r:id="rId2"/>
  </sheets>
  <definedNames>
    <definedName name="_xlcn.WorksheetConnection_Pasta1version1.xlsbT_Dados_qts" hidden="1">T_Dados_qts[]</definedName>
    <definedName name="_xlcn.WorksheetConnection_Pasta1version1.xlsbTabela1" hidden="1">T_Cliente[]</definedName>
    <definedName name="SegmentaçãodeDados_Status">#N/A</definedName>
    <definedName name="SegmentaçãodeDados_Status1">#N/A</definedName>
    <definedName name="Status">T_Cliente[]</definedName>
  </definedNames>
  <calcPr calcId="191029"/>
  <pivotCaches>
    <pivotCache cacheId="868" r:id="rId3"/>
    <pivotCache cacheId="873" r:id="rId4"/>
  </pivotCaches>
  <fileRecoveryPr repairLoad="1"/>
  <extLst>
    <ext xmlns:x14="http://schemas.microsoft.com/office/spreadsheetml/2009/9/main" uri="{876F7934-8845-4945-9796-88D515C7AA90}">
      <x14:pivotCaches>
        <pivotCache cacheId="850" r:id="rId5"/>
      </x14:pivotCaches>
    </ext>
    <ext xmlns:x14="http://schemas.microsoft.com/office/spreadsheetml/2009/9/main" uri="{BBE1A952-AA13-448e-AADC-164F8A28A991}">
      <x14:slicerCaches>
        <x14:slicerCache r:id="rId6"/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ela1" name="Tabela1" connection="WorksheetConnection_Pasta1 (version 1).xlsb!Tabela1"/>
          <x15:modelTable id="T_Dados_qts" name="T_Dados_qts" connection="WorksheetConnection_Pasta1 (version 1).xlsb!T_Dados_qts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9" i="1" l="1"/>
  <c r="E7" i="1"/>
  <c r="E8" i="1"/>
  <c r="E9" i="1"/>
  <c r="E10" i="1"/>
  <c r="E11" i="1"/>
  <c r="E12" i="1"/>
  <c r="E13" i="1"/>
  <c r="E14" i="1"/>
  <c r="E15" i="1"/>
  <c r="E6" i="1"/>
  <c r="I10" i="1" l="1"/>
  <c r="I8" i="1"/>
  <c r="G6" i="1"/>
  <c r="H6" i="1"/>
  <c r="I6" i="1"/>
  <c r="J6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C87F52C-A872-4D14-A4A3-929073935F24}" keepAlive="1" name="ThisWorkbookDataModel" description="Modelo de Dad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251DE7E5-59D5-4BFA-9549-594E6F4D57D0}" name="WorksheetConnection_Pasta1 (version 1).xlsb!T_Dados_qts" type="102" refreshedVersion="8" minRefreshableVersion="5">
    <extLst>
      <ext xmlns:x15="http://schemas.microsoft.com/office/spreadsheetml/2010/11/main" uri="{DE250136-89BD-433C-8126-D09CA5730AF9}">
        <x15:connection id="T_Dados_qts">
          <x15:rangePr sourceName="_xlcn.WorksheetConnection_Pasta1version1.xlsbT_Dados_qts"/>
        </x15:connection>
      </ext>
    </extLst>
  </connection>
  <connection id="3" xr16:uid="{AC3B06ED-E296-4E07-86AE-0473F41DEBB9}" name="WorksheetConnection_Pasta1 (version 1).xlsb!Tabela1" type="102" refreshedVersion="8" minRefreshableVersion="5">
    <extLst>
      <ext xmlns:x15="http://schemas.microsoft.com/office/spreadsheetml/2010/11/main" uri="{DE250136-89BD-433C-8126-D09CA5730AF9}">
        <x15:connection id="Tabela1" autoDelete="1">
          <x15:rangePr sourceName="_xlcn.WorksheetConnection_Pasta1version1.xlsbTabela1"/>
        </x15:connection>
      </ext>
    </extLst>
  </connection>
</connections>
</file>

<file path=xl/sharedStrings.xml><?xml version="1.0" encoding="utf-8"?>
<sst xmlns="http://schemas.openxmlformats.org/spreadsheetml/2006/main" count="42" uniqueCount="31">
  <si>
    <t>Cliente</t>
  </si>
  <si>
    <t>Vencimento</t>
  </si>
  <si>
    <t>Pagamento</t>
  </si>
  <si>
    <t>Valor</t>
  </si>
  <si>
    <t>Empresa A</t>
  </si>
  <si>
    <t>Empresa B</t>
  </si>
  <si>
    <t>Empresa C</t>
  </si>
  <si>
    <t>Empresa D</t>
  </si>
  <si>
    <t>Empresa E</t>
  </si>
  <si>
    <t>Empresa F</t>
  </si>
  <si>
    <t>Empresa G</t>
  </si>
  <si>
    <t>Empresa H</t>
  </si>
  <si>
    <t>Empresa I</t>
  </si>
  <si>
    <t>Empresa J</t>
  </si>
  <si>
    <t xml:space="preserve">Objetivo: Classificar clientes automaticamente | Mostrar indicadores | Filtro Interativo  | Visão de Análise </t>
  </si>
  <si>
    <t xml:space="preserve">Controle Financeiro </t>
  </si>
  <si>
    <t>Status</t>
  </si>
  <si>
    <t>Qt/Atraso</t>
  </si>
  <si>
    <t>Qt/Pagos</t>
  </si>
  <si>
    <t>Qt/Aberto</t>
  </si>
  <si>
    <t>Valor total Atraso</t>
  </si>
  <si>
    <t>Rótulos de Linha</t>
  </si>
  <si>
    <t>Soma de Valor</t>
  </si>
  <si>
    <t>Atraso</t>
  </si>
  <si>
    <t>Total Geral</t>
  </si>
  <si>
    <t>Valores</t>
  </si>
  <si>
    <t>Total Soma de Valor</t>
  </si>
  <si>
    <t>Contagem de Status</t>
  </si>
  <si>
    <t>Total Contagem de Status</t>
  </si>
  <si>
    <t>Cliente tem &gt; valor em atraso</t>
  </si>
  <si>
    <t>Média dos  Valores Pagos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</si>
</sst>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@\ &quot;*&quot;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/>
    <xf numFmtId="44" fontId="0" fillId="0" borderId="1" xfId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14" fontId="0" fillId="0" borderId="8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44" fontId="0" fillId="0" borderId="8" xfId="1" applyFont="1" applyBorder="1" applyAlignment="1">
      <alignment horizontal="center"/>
    </xf>
    <xf numFmtId="0" fontId="0" fillId="0" borderId="9" xfId="0" applyBorder="1" applyAlignment="1">
      <alignment horizontal="center"/>
    </xf>
    <xf numFmtId="44" fontId="0" fillId="0" borderId="9" xfId="1" applyFont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1" xfId="0" pivotButton="1" applyBorder="1"/>
    <xf numFmtId="0" fontId="0" fillId="0" borderId="1" xfId="0" applyNumberFormat="1" applyBorder="1"/>
    <xf numFmtId="164" fontId="0" fillId="0" borderId="1" xfId="0" applyNumberFormat="1" applyBorder="1"/>
    <xf numFmtId="14" fontId="0" fillId="0" borderId="5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Border="1"/>
    <xf numFmtId="44" fontId="0" fillId="0" borderId="1" xfId="0" applyNumberFormat="1" applyBorder="1" applyAlignment="1">
      <alignment horizontal="center"/>
    </xf>
    <xf numFmtId="0" fontId="2" fillId="0" borderId="1" xfId="0" applyFont="1" applyBorder="1" applyAlignment="1">
      <alignment horizontal="center" vertical="center"/>
    </xf>
  </cellXfs>
  <cellStyles count="2">
    <cellStyle name="Moeda" xfId="1" builtinId="4"/>
    <cellStyle name="Normal" xfId="0" builtinId="0"/>
  </cellStyles>
  <dxfs count="55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fill>
        <gradientFill degree="90">
          <stop position="0">
            <color rgb="FFFF3300"/>
          </stop>
          <stop position="1">
            <color rgb="FFC00000"/>
          </stop>
        </gradientFill>
      </fill>
    </dxf>
    <dxf>
      <fill>
        <gradientFill degree="90">
          <stop position="0">
            <color rgb="FFF7CA5B"/>
          </stop>
          <stop position="1">
            <color rgb="FFEDDD13"/>
          </stop>
        </gradientFill>
      </fill>
    </dxf>
    <dxf>
      <fill>
        <gradientFill degree="90">
          <stop position="0">
            <color theme="9" tint="0.40000610370189521"/>
          </stop>
          <stop position="1">
            <color theme="9" tint="-0.25098422193060094"/>
          </stop>
        </gradientFill>
      </fill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colors>
    <mruColors>
      <color rgb="FFFF3300"/>
      <color rgb="FFF7CA5B"/>
      <color rgb="FFEDDD13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18" Type="http://schemas.openxmlformats.org/officeDocument/2006/relationships/customXml" Target="../customXml/item5.xml"/><Relationship Id="rId26" Type="http://schemas.openxmlformats.org/officeDocument/2006/relationships/customXml" Target="../customXml/item13.xml"/><Relationship Id="rId3" Type="http://schemas.openxmlformats.org/officeDocument/2006/relationships/pivotCacheDefinition" Target="pivotCache/pivotCacheDefinition1.xml"/><Relationship Id="rId21" Type="http://schemas.openxmlformats.org/officeDocument/2006/relationships/customXml" Target="../customXml/item8.xml"/><Relationship Id="rId7" Type="http://schemas.microsoft.com/office/2007/relationships/slicerCache" Target="slicerCaches/slicerCache2.xml"/><Relationship Id="rId12" Type="http://schemas.openxmlformats.org/officeDocument/2006/relationships/powerPivotData" Target="model/item.data"/><Relationship Id="rId17" Type="http://schemas.openxmlformats.org/officeDocument/2006/relationships/customXml" Target="../customXml/item4.xml"/><Relationship Id="rId25" Type="http://schemas.openxmlformats.org/officeDocument/2006/relationships/customXml" Target="../customXml/item1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20" Type="http://schemas.openxmlformats.org/officeDocument/2006/relationships/customXml" Target="../customXml/item7.xml"/><Relationship Id="rId29" Type="http://schemas.openxmlformats.org/officeDocument/2006/relationships/customXml" Target="../customXml/item16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haredStrings" Target="sharedStrings.xml"/><Relationship Id="rId24" Type="http://schemas.openxmlformats.org/officeDocument/2006/relationships/customXml" Target="../customXml/item11.xml"/><Relationship Id="rId5" Type="http://schemas.openxmlformats.org/officeDocument/2006/relationships/pivotCacheDefinition" Target="pivotCache/pivotCacheDefinition3.xml"/><Relationship Id="rId15" Type="http://schemas.openxmlformats.org/officeDocument/2006/relationships/customXml" Target="../customXml/item2.xml"/><Relationship Id="rId23" Type="http://schemas.openxmlformats.org/officeDocument/2006/relationships/customXml" Target="../customXml/item10.xml"/><Relationship Id="rId28" Type="http://schemas.openxmlformats.org/officeDocument/2006/relationships/customXml" Target="../customXml/item15.xml"/><Relationship Id="rId10" Type="http://schemas.openxmlformats.org/officeDocument/2006/relationships/styles" Target="styles.xml"/><Relationship Id="rId19" Type="http://schemas.openxmlformats.org/officeDocument/2006/relationships/customXml" Target="../customXml/item6.xml"/><Relationship Id="rId4" Type="http://schemas.openxmlformats.org/officeDocument/2006/relationships/pivotCacheDefinition" Target="pivotCache/pivotCacheDefinition2.xml"/><Relationship Id="rId9" Type="http://schemas.openxmlformats.org/officeDocument/2006/relationships/connections" Target="connections.xml"/><Relationship Id="rId14" Type="http://schemas.openxmlformats.org/officeDocument/2006/relationships/customXml" Target="../customXml/item1.xml"/><Relationship Id="rId22" Type="http://schemas.openxmlformats.org/officeDocument/2006/relationships/customXml" Target="../customXml/item9.xml"/><Relationship Id="rId27" Type="http://schemas.openxmlformats.org/officeDocument/2006/relationships/customXml" Target="../customXml/item14.xml"/><Relationship Id="rId30" Type="http://schemas.openxmlformats.org/officeDocument/2006/relationships/customXml" Target="../customXml/item17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[Controle-Financeiro-1.xlsx]Planilha15!Tabela dinâmica52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Clientes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Planilha15!$B$3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Planilha15!$A$4:$A$10</c:f>
              <c:strCache>
                <c:ptCount val="6"/>
                <c:pt idx="0">
                  <c:v>Empresa A</c:v>
                </c:pt>
                <c:pt idx="1">
                  <c:v>Empresa B</c:v>
                </c:pt>
                <c:pt idx="2">
                  <c:v>Empresa D</c:v>
                </c:pt>
                <c:pt idx="3">
                  <c:v>Empresa E</c:v>
                </c:pt>
                <c:pt idx="4">
                  <c:v>Empresa G</c:v>
                </c:pt>
                <c:pt idx="5">
                  <c:v>Empresa I</c:v>
                </c:pt>
              </c:strCache>
            </c:strRef>
          </c:cat>
          <c:val>
            <c:numRef>
              <c:f>Planilha15!$B$4:$B$10</c:f>
              <c:numCache>
                <c:formatCode>General</c:formatCode>
                <c:ptCount val="6"/>
                <c:pt idx="0">
                  <c:v>1200</c:v>
                </c:pt>
                <c:pt idx="1">
                  <c:v>800</c:v>
                </c:pt>
                <c:pt idx="2">
                  <c:v>400</c:v>
                </c:pt>
                <c:pt idx="3">
                  <c:v>950</c:v>
                </c:pt>
                <c:pt idx="4">
                  <c:v>2000</c:v>
                </c:pt>
                <c:pt idx="5">
                  <c:v>1100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BF-48BE-B115-FA57FE3125B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45830335"/>
        <c:axId val="1945828895"/>
      </c:barChart>
      <c:catAx>
        <c:axId val="1945830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45828895"/>
        <c:crosses val="autoZero"/>
        <c:auto val="1"/>
        <c:lblAlgn val="ctr"/>
        <c:lblOffset val="100"/>
        <c:noMultiLvlLbl val="0"/>
      </c:catAx>
      <c:valAx>
        <c:axId val="1945828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45830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2</xdr:row>
      <xdr:rowOff>0</xdr:rowOff>
    </xdr:from>
    <xdr:to>
      <xdr:col>15</xdr:col>
      <xdr:colOff>0</xdr:colOff>
      <xdr:row>16</xdr:row>
      <xdr:rowOff>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Status 1">
              <a:extLst>
                <a:ext uri="{FF2B5EF4-FFF2-40B4-BE49-F238E27FC236}">
                  <a16:creationId xmlns:a16="http://schemas.microsoft.com/office/drawing/2014/main" id="{FFDB1074-9950-9C54-4A80-D802D9067E7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atus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172450" y="381000"/>
              <a:ext cx="1828800" cy="2667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533400</xdr:colOff>
      <xdr:row>0</xdr:row>
      <xdr:rowOff>78000</xdr:rowOff>
    </xdr:from>
    <xdr:to>
      <xdr:col>13</xdr:col>
      <xdr:colOff>66675</xdr:colOff>
      <xdr:row>4</xdr:row>
      <xdr:rowOff>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8" name="Status">
              <a:extLst>
                <a:ext uri="{FF2B5EF4-FFF2-40B4-BE49-F238E27FC236}">
                  <a16:creationId xmlns:a16="http://schemas.microsoft.com/office/drawing/2014/main" id="{787BE587-2BE2-4D62-9311-2A30CB7B5EF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atus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096375" y="78000"/>
              <a:ext cx="3076575" cy="684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6</xdr:col>
      <xdr:colOff>0</xdr:colOff>
      <xdr:row>10</xdr:row>
      <xdr:rowOff>104774</xdr:rowOff>
    </xdr:from>
    <xdr:to>
      <xdr:col>9</xdr:col>
      <xdr:colOff>819150</xdr:colOff>
      <xdr:row>22</xdr:row>
      <xdr:rowOff>190499</xdr:rowOff>
    </xdr:to>
    <xdr:graphicFrame macro="">
      <xdr:nvGraphicFramePr>
        <xdr:cNvPr id="20" name="Gráfico 19">
          <a:extLst>
            <a:ext uri="{FF2B5EF4-FFF2-40B4-BE49-F238E27FC236}">
              <a16:creationId xmlns:a16="http://schemas.microsoft.com/office/drawing/2014/main" id="{2F1A0371-3726-4D02-A158-4D6AB4B8AA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" refreshedDate="46100.806028356485" backgroundQuery="1" createdVersion="8" refreshedVersion="8" minRefreshableVersion="3" recordCount="0" supportSubquery="1" supportAdvancedDrill="1" xr:uid="{85A0B4CE-3A92-44B1-8F2A-2CDD0224BAE3}">
  <cacheSource type="external" connectionId="1"/>
  <cacheFields count="4">
    <cacheField name="[Tabela1].[Cliente].[Cliente]" caption="Cliente" numFmtId="0" hierarchy="4" level="1">
      <sharedItems count="2">
        <s v="Empresa J"/>
        <s v="Empresa B" u="1"/>
      </sharedItems>
    </cacheField>
    <cacheField name="[Measures].[Contagem de Status]" caption="Contagem de Status" numFmtId="0" hierarchy="20" level="32767"/>
    <cacheField name="[Measures].[Soma de Valor]" caption="Soma de Valor" numFmtId="0" hierarchy="12" level="32767"/>
    <cacheField name="[Tabela1].[Status].[Status]" caption="Status" numFmtId="0" hierarchy="8" level="1">
      <sharedItems containsSemiMixedTypes="0" containsNonDate="0" containsString="0"/>
    </cacheField>
  </cacheFields>
  <cacheHierarchies count="21">
    <cacheHierarchy uniqueName="[T_Dados_qts].[Qt/Atraso]" caption="Qt/Atraso" attribute="1" defaultMemberUniqueName="[T_Dados_qts].[Qt/Atraso].[All]" allUniqueName="[T_Dados_qts].[Qt/Atraso].[All]" dimensionUniqueName="[T_Dados_qts]" displayFolder="" count="0" memberValueDatatype="20" unbalanced="0"/>
    <cacheHierarchy uniqueName="[T_Dados_qts].[Qt/Pagos]" caption="Qt/Pagos" attribute="1" defaultMemberUniqueName="[T_Dados_qts].[Qt/Pagos].[All]" allUniqueName="[T_Dados_qts].[Qt/Pagos].[All]" dimensionUniqueName="[T_Dados_qts]" displayFolder="" count="0" memberValueDatatype="20" unbalanced="0"/>
    <cacheHierarchy uniqueName="[T_Dados_qts].[Qt/Aberto]" caption="Qt/Aberto" attribute="1" defaultMemberUniqueName="[T_Dados_qts].[Qt/Aberto].[All]" allUniqueName="[T_Dados_qts].[Qt/Aberto].[All]" dimensionUniqueName="[T_Dados_qts]" displayFolder="" count="0" memberValueDatatype="20" unbalanced="0"/>
    <cacheHierarchy uniqueName="[T_Dados_qts].[Valor total Atraso]" caption="Valor total Atraso" attribute="1" defaultMemberUniqueName="[T_Dados_qts].[Valor total Atraso].[All]" allUniqueName="[T_Dados_qts].[Valor total Atraso].[All]" dimensionUniqueName="[T_Dados_qts]" displayFolder="" count="0" memberValueDatatype="20" unbalanced="0"/>
    <cacheHierarchy uniqueName="[Tabela1].[Cliente]" caption="Cliente" attribute="1" defaultMemberUniqueName="[Tabela1].[Cliente].[All]" allUniqueName="[Tabela1].[Cliente].[All]" dimensionUniqueName="[Tabela1]" displayFolder="" count="2" memberValueDatatype="130" unbalanced="0">
      <fieldsUsage count="2">
        <fieldUsage x="-1"/>
        <fieldUsage x="0"/>
      </fieldsUsage>
    </cacheHierarchy>
    <cacheHierarchy uniqueName="[Tabela1].[Vencimento]" caption="Vencimento" attribute="1" time="1" defaultMemberUniqueName="[Tabela1].[Vencimento].[All]" allUniqueName="[Tabela1].[Vencimento].[All]" dimensionUniqueName="[Tabela1]" displayFolder="" count="0" memberValueDatatype="7" unbalanced="0"/>
    <cacheHierarchy uniqueName="[Tabela1].[Pagamento]" caption="Pagamento" attribute="1" time="1" defaultMemberUniqueName="[Tabela1].[Pagamento].[All]" allUniqueName="[Tabela1].[Pagamento].[All]" dimensionUniqueName="[Tabela1]" displayFolder="" count="0" memberValueDatatype="7" unbalanced="0"/>
    <cacheHierarchy uniqueName="[Tabela1].[Valor]" caption="Valor" attribute="1" defaultMemberUniqueName="[Tabela1].[Valor].[All]" allUniqueName="[Tabela1].[Valor].[All]" dimensionUniqueName="[Tabela1]" displayFolder="" count="0" memberValueDatatype="20" unbalanced="0"/>
    <cacheHierarchy uniqueName="[Tabela1].[Status]" caption="Status" attribute="1" defaultMemberUniqueName="[Tabela1].[Status].[All]" allUniqueName="[Tabela1].[Status].[All]" dimensionUniqueName="[Tabela1]" displayFolder="" count="2" memberValueDatatype="130" unbalanced="0">
      <fieldsUsage count="2">
        <fieldUsage x="-1"/>
        <fieldUsage x="3"/>
      </fieldsUsage>
    </cacheHierarchy>
    <cacheHierarchy uniqueName="[Measures].[__XL_Count Tabela1]" caption="__XL_Count Tabela1" measure="1" displayFolder="" measureGroup="Tabela1" count="0" hidden="1"/>
    <cacheHierarchy uniqueName="[Measures].[__XL_Count T_Dados_qts]" caption="__XL_Count T_Dados_qts" measure="1" displayFolder="" measureGroup="T_Dados_qts" count="0" hidden="1"/>
    <cacheHierarchy uniqueName="[Measures].[__No measures defined]" caption="__No measures defined" measure="1" displayFolder="" count="0" hidden="1"/>
    <cacheHierarchy uniqueName="[Measures].[Soma de Valor]" caption="Soma de Valor" measure="1" displayFolder="" measureGroup="Tabela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oma de Qt/Atraso]" caption="Soma de Qt/Atraso" measure="1" displayFolder="" measureGroup="T_Dados_qt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oma de Valor total Atraso]" caption="Soma de Valor total Atraso" measure="1" displayFolder="" measureGroup="T_Dados_qt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ntagem de Vencimento]" caption="Contagem de Vencimento" measure="1" displayFolder="" measureGroup="Tabela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ntagem de Pagamento]" caption="Contagem de Pagamento" measure="1" displayFolder="" measureGroup="Tabela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oma de Qt/Pagos]" caption="Soma de Qt/Pagos" measure="1" displayFolder="" measureGroup="T_Dados_qt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oma de Qt/Aberto]" caption="Soma de Qt/Aberto" measure="1" displayFolder="" measureGroup="T_Dados_qt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ntagem de Qt/Atraso]" caption="Contagem de Qt/Atraso" measure="1" displayFolder="" measureGroup="T_Dados_qt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ntagem de Status]" caption="Contagem de Status" measure="1" displayFolder="" measureGroup="Tabela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3">
    <dimension measure="1" name="Measures" uniqueName="[Measures]" caption="Measures"/>
    <dimension name="T_Dados_qts" uniqueName="[T_Dados_qts]" caption="T_Dados_qts"/>
    <dimension name="Tabela1" uniqueName="[Tabela1]" caption="Tabela1"/>
  </dimensions>
  <measureGroups count="2">
    <measureGroup name="T_Dados_qts" caption="T_Dados_qts"/>
    <measureGroup name="Tabela1" caption="Tabela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" refreshedDate="46100.806108217592" createdVersion="8" refreshedVersion="8" minRefreshableVersion="3" recordCount="10" xr:uid="{939DF7B5-3F55-47D7-9A51-92D0C8083FC3}">
  <cacheSource type="worksheet">
    <worksheetSource name="T_Cliente"/>
  </cacheSource>
  <cacheFields count="5">
    <cacheField name="Cliente" numFmtId="0">
      <sharedItems count="10">
        <s v="Empresa A"/>
        <s v="Empresa B"/>
        <s v="Empresa C"/>
        <s v="Empresa D"/>
        <s v="Empresa E"/>
        <s v="Empresa F"/>
        <s v="Empresa G"/>
        <s v="Empresa H"/>
        <s v="Empresa I"/>
        <s v="Empresa J"/>
      </sharedItems>
    </cacheField>
    <cacheField name="Vencimento" numFmtId="14">
      <sharedItems containsSemiMixedTypes="0" containsNonDate="0" containsDate="1" containsString="0" minDate="2026-03-01T00:00:00" maxDate="2026-03-29T00:00:00"/>
    </cacheField>
    <cacheField name="Pagamento" numFmtId="0">
      <sharedItems containsNonDate="0" containsDate="1" containsString="0" containsBlank="1" minDate="2026-03-05T00:00:00" maxDate="2026-03-25T00:00:00"/>
    </cacheField>
    <cacheField name="Valor" numFmtId="44">
      <sharedItems containsSemiMixedTypes="0" containsString="0" containsNumber="1" containsInteger="1" minValue="300" maxValue="2000"/>
    </cacheField>
    <cacheField name="Status" numFmtId="0">
      <sharedItems count="3">
        <s v="Atraso"/>
        <s v="Pago"/>
        <s v="Em Aberto"/>
      </sharedItems>
    </cacheField>
  </cacheFields>
  <extLst>
    <ext xmlns:x14="http://schemas.microsoft.com/office/spreadsheetml/2009/9/main" uri="{725AE2AE-9491-48be-B2B4-4EB974FC3084}">
      <x14:pivotCacheDefinition pivotCacheId="1403168728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" refreshedDate="46100.805431944442" backgroundQuery="1" createdVersion="3" refreshedVersion="8" minRefreshableVersion="3" recordCount="0" supportSubquery="1" supportAdvancedDrill="1" xr:uid="{3AEC849B-1E07-4E9D-BE45-4BD2D65DAB0F}">
  <cacheSource type="external" connectionId="1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21">
    <cacheHierarchy uniqueName="[T_Dados_qts].[Qt/Atraso]" caption="Qt/Atraso" attribute="1" defaultMemberUniqueName="[T_Dados_qts].[Qt/Atraso].[All]" allUniqueName="[T_Dados_qts].[Qt/Atraso].[All]" dimensionUniqueName="[T_Dados_qts]" displayFolder="" count="0" memberValueDatatype="20" unbalanced="0"/>
    <cacheHierarchy uniqueName="[T_Dados_qts].[Qt/Pagos]" caption="Qt/Pagos" attribute="1" defaultMemberUniqueName="[T_Dados_qts].[Qt/Pagos].[All]" allUniqueName="[T_Dados_qts].[Qt/Pagos].[All]" dimensionUniqueName="[T_Dados_qts]" displayFolder="" count="0" memberValueDatatype="20" unbalanced="0"/>
    <cacheHierarchy uniqueName="[T_Dados_qts].[Qt/Aberto]" caption="Qt/Aberto" attribute="1" defaultMemberUniqueName="[T_Dados_qts].[Qt/Aberto].[All]" allUniqueName="[T_Dados_qts].[Qt/Aberto].[All]" dimensionUniqueName="[T_Dados_qts]" displayFolder="" count="0" memberValueDatatype="20" unbalanced="0"/>
    <cacheHierarchy uniqueName="[T_Dados_qts].[Valor total Atraso]" caption="Valor total Atraso" attribute="1" defaultMemberUniqueName="[T_Dados_qts].[Valor total Atraso].[All]" allUniqueName="[T_Dados_qts].[Valor total Atraso].[All]" dimensionUniqueName="[T_Dados_qts]" displayFolder="" count="0" memberValueDatatype="20" unbalanced="0"/>
    <cacheHierarchy uniqueName="[Tabela1].[Cliente]" caption="Cliente" attribute="1" defaultMemberUniqueName="[Tabela1].[Cliente].[All]" allUniqueName="[Tabela1].[Cliente].[All]" dimensionUniqueName="[Tabela1]" displayFolder="" count="0" memberValueDatatype="130" unbalanced="0"/>
    <cacheHierarchy uniqueName="[Tabela1].[Vencimento]" caption="Vencimento" attribute="1" time="1" defaultMemberUniqueName="[Tabela1].[Vencimento].[All]" allUniqueName="[Tabela1].[Vencimento].[All]" dimensionUniqueName="[Tabela1]" displayFolder="" count="0" memberValueDatatype="7" unbalanced="0"/>
    <cacheHierarchy uniqueName="[Tabela1].[Pagamento]" caption="Pagamento" attribute="1" time="1" defaultMemberUniqueName="[Tabela1].[Pagamento].[All]" allUniqueName="[Tabela1].[Pagamento].[All]" dimensionUniqueName="[Tabela1]" displayFolder="" count="0" memberValueDatatype="7" unbalanced="0"/>
    <cacheHierarchy uniqueName="[Tabela1].[Valor]" caption="Valor" attribute="1" defaultMemberUniqueName="[Tabela1].[Valor].[All]" allUniqueName="[Tabela1].[Valor].[All]" dimensionUniqueName="[Tabela1]" displayFolder="" count="0" memberValueDatatype="20" unbalanced="0"/>
    <cacheHierarchy uniqueName="[Tabela1].[Status]" caption="Status" attribute="1" defaultMemberUniqueName="[Tabela1].[Status].[All]" allUniqueName="[Tabela1].[Status].[All]" dimensionUniqueName="[Tabela1]" displayFolder="" count="2" memberValueDatatype="130" unbalanced="0"/>
    <cacheHierarchy uniqueName="[Measures].[__XL_Count Tabela1]" caption="__XL_Count Tabela1" measure="1" displayFolder="" measureGroup="Tabela1" count="0" hidden="1"/>
    <cacheHierarchy uniqueName="[Measures].[__XL_Count T_Dados_qts]" caption="__XL_Count T_Dados_qts" measure="1" displayFolder="" measureGroup="T_Dados_qts" count="0" hidden="1"/>
    <cacheHierarchy uniqueName="[Measures].[__No measures defined]" caption="__No measures defined" measure="1" displayFolder="" count="0" hidden="1"/>
    <cacheHierarchy uniqueName="[Measures].[Soma de Valor]" caption="Soma de Valor" measure="1" displayFolder="" measureGroup="Tabela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oma de Qt/Atraso]" caption="Soma de Qt/Atraso" measure="1" displayFolder="" measureGroup="T_Dados_qt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oma de Valor total Atraso]" caption="Soma de Valor total Atraso" measure="1" displayFolder="" measureGroup="T_Dados_qt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ntagem de Vencimento]" caption="Contagem de Vencimento" measure="1" displayFolder="" measureGroup="Tabela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ntagem de Pagamento]" caption="Contagem de Pagamento" measure="1" displayFolder="" measureGroup="Tabela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oma de Qt/Pagos]" caption="Soma de Qt/Pagos" measure="1" displayFolder="" measureGroup="T_Dados_qt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oma de Qt/Aberto]" caption="Soma de Qt/Aberto" measure="1" displayFolder="" measureGroup="T_Dados_qt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ntagem de Qt/Atraso]" caption="Contagem de Qt/Atraso" measure="1" displayFolder="" measureGroup="T_Dados_qt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ntagem de Status]" caption="Contagem de Status" measure="1" displayFolder="" measureGroup="Tabela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extLst>
    <ext xmlns:x14="http://schemas.microsoft.com/office/spreadsheetml/2009/9/main" uri="{725AE2AE-9491-48be-B2B4-4EB974FC3084}">
      <x14:pivotCacheDefinition slicerData="1" pivotCacheId="1125730269"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d v="2026-03-02T00:00:00"/>
    <d v="2026-03-05T00:00:00"/>
    <n v="1200"/>
    <x v="0"/>
  </r>
  <r>
    <x v="1"/>
    <d v="2026-03-15T00:00:00"/>
    <m/>
    <n v="800"/>
    <x v="0"/>
  </r>
  <r>
    <x v="2"/>
    <d v="2026-03-10T00:00:00"/>
    <d v="2026-03-09T00:00:00"/>
    <n v="1500"/>
    <x v="1"/>
  </r>
  <r>
    <x v="3"/>
    <d v="2026-03-01T00:00:00"/>
    <m/>
    <n v="400"/>
    <x v="0"/>
  </r>
  <r>
    <x v="4"/>
    <d v="2026-03-20T00:00:00"/>
    <d v="2026-03-22T00:00:00"/>
    <n v="950"/>
    <x v="0"/>
  </r>
  <r>
    <x v="5"/>
    <d v="2026-03-25T00:00:00"/>
    <d v="2026-03-24T00:00:00"/>
    <n v="300"/>
    <x v="1"/>
  </r>
  <r>
    <x v="6"/>
    <d v="2026-03-05T00:00:00"/>
    <d v="2026-03-24T00:00:00"/>
    <n v="2000"/>
    <x v="0"/>
  </r>
  <r>
    <x v="7"/>
    <d v="2026-03-18T00:00:00"/>
    <d v="2026-03-17T00:00:00"/>
    <n v="600"/>
    <x v="1"/>
  </r>
  <r>
    <x v="8"/>
    <d v="2026-03-08T00:00:00"/>
    <d v="2026-03-12T00:00:00"/>
    <n v="1100"/>
    <x v="0"/>
  </r>
  <r>
    <x v="9"/>
    <d v="2026-03-28T00:00:00"/>
    <m/>
    <n v="700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718F17-9DF0-4B4A-AD2A-E9CAA8E31F96}" name="Tabela dinâmica52" cacheId="87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A3:B10" firstHeaderRow="1" firstDataRow="1" firstDataCol="1" rowPageCount="1" colPageCount="1"/>
  <pivotFields count="5"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umFmtId="14" showAll="0"/>
    <pivotField showAll="0"/>
    <pivotField dataField="1" numFmtId="44" showAll="0"/>
    <pivotField axis="axisPage" multipleItemSelectionAllowed="1" showAll="0">
      <items count="4">
        <item x="0"/>
        <item h="1" x="2"/>
        <item h="1" x="1"/>
        <item t="default"/>
      </items>
    </pivotField>
  </pivotFields>
  <rowFields count="1">
    <field x="0"/>
  </rowFields>
  <rowItems count="7">
    <i>
      <x/>
    </i>
    <i>
      <x v="1"/>
    </i>
    <i>
      <x v="3"/>
    </i>
    <i>
      <x v="4"/>
    </i>
    <i>
      <x v="6"/>
    </i>
    <i>
      <x v="8"/>
    </i>
    <i t="grand">
      <x/>
    </i>
  </rowItems>
  <colItems count="1">
    <i/>
  </colItems>
  <pageFields count="1">
    <pageField fld="4" hier="-1"/>
  </pageFields>
  <dataFields count="1">
    <dataField name="Soma de Valor" fld="3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2152C0-3AF8-457B-92CD-8EA51BC2A9CF}" name="Tabela dinâmica16" cacheId="868" dataOnRows="1" applyNumberFormats="0" applyBorderFormats="0" applyFontFormats="0" applyPatternFormats="0" applyAlignmentFormats="0" applyWidthHeightFormats="1" dataCaption="Valores" tag="260afc94-c24e-4289-8dca-32abbe3b5ab9" updatedVersion="8" minRefreshableVersion="3" visualTotals="0" useAutoFormatting="1" subtotalHiddenItems="1" itemPrintTitles="1" createdVersion="8" indent="0" compact="0" compactData="0" multipleFieldFilters="0" chartFormat="3">
  <location ref="K5:M9" firstHeaderRow="1" firstDataRow="1" firstDataCol="2"/>
  <pivotFields count="4">
    <pivotField axis="axisRow" compact="0" allDrilled="1" outline="0" showAll="0" sortType="ascending" defaultAttributeDrillState="1">
      <items count="3">
        <item x="1"/>
        <item x="0"/>
        <item t="default"/>
      </items>
    </pivotField>
    <pivotField dataField="1" compact="0" outline="0" showAll="0"/>
    <pivotField dataField="1" compact="0" outline="0" showAll="0"/>
    <pivotField compact="0" allDrilled="1" outline="0" showAll="0" dataSourceSort="1" defaultAttributeDrillState="1"/>
  </pivotFields>
  <rowFields count="2">
    <field x="0"/>
    <field x="-2"/>
  </rowFields>
  <rowItems count="4">
    <i>
      <x v="1"/>
      <x/>
    </i>
    <i r="1" i="1">
      <x v="1"/>
    </i>
    <i t="grand">
      <x/>
    </i>
    <i t="grand" i="1">
      <x/>
    </i>
  </rowItems>
  <colItems count="1">
    <i/>
  </colItems>
  <dataFields count="2">
    <dataField name="Contagem de Status" fld="1" subtotal="count" baseField="0" baseItem="0"/>
    <dataField name="Soma de Valor" fld="2" baseField="0" baseItem="0"/>
  </dataFields>
  <formats count="5">
    <format dxfId="5">
      <pivotArea type="all" dataOnly="0" outline="0" fieldPosition="0"/>
    </format>
    <format dxfId="6">
      <pivotArea outline="0" collapsedLevelsAreSubtotals="1" fieldPosition="0"/>
    </format>
    <format dxfId="7">
      <pivotArea field="0" type="button" dataOnly="0" labelOnly="1" outline="0" axis="axisRow" fieldPosition="0"/>
    </format>
    <format dxfId="8">
      <pivotArea dataOnly="0" labelOnly="1" grandRow="1" outline="0" fieldPosition="0"/>
    </format>
    <format dxfId="9">
      <pivotArea dataOnly="0" labelOnly="1" outline="0" offset="IV1" fieldPosition="0">
        <references count="1">
          <reference field="0" count="1">
            <x v="0"/>
          </reference>
        </references>
      </pivotArea>
    </format>
  </formats>
  <pivotHierarchies count="2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Tabela1].[Status].&amp;[Em Aberto]"/>
      </members>
    </pivotHierarchy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Soma de Qt/Atraso"/>
    <pivotHierarchy dragToData="1"/>
    <pivotHierarchy dragToData="1"/>
    <pivotHierarchy dragToData="1"/>
    <pivotHierarchy dragToData="1"/>
    <pivotHierarchy dragToData="1"/>
    <pivotHierarchy dragToData="1" caption="Contagem de Qt/Atraso"/>
    <pivotHierarchy dragToData="1"/>
  </pivotHierarchies>
  <pivotTableStyleInfo name="PivotStyleLight18" showRowHeaders="1" showColHeaders="1" showRowStripes="0" showColStripes="0" showLastColumn="1"/>
  <rowHierarchiesUsage count="2">
    <rowHierarchyUsage hierarchyUsage="4"/>
    <rowHierarchyUsage hierarchyUsage="-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ela1]"/>
        <x15:activeTabTopLevelEntity name="[T_Dados_qts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tatus" xr10:uid="{06DC053A-20C8-46E6-ABF9-030CD08B6166}" sourceName="[Tabela1].[Status]">
  <pivotTables>
    <pivotTable tabId="1" name="Tabela dinâmica16"/>
  </pivotTables>
  <data>
    <olap pivotCacheId="1125730269">
      <levels count="2">
        <level uniqueName="[Tabela1].[Status].[(All)]" sourceCaption="(All)" count="0"/>
        <level uniqueName="[Tabela1].[Status].[Status]" sourceCaption="Status" count="3">
          <ranges>
            <range startItem="0">
              <i n="[Tabela1].[Status].&amp;[Atraso]" c="Atraso"/>
              <i n="[Tabela1].[Status].&amp;[Em Aberto]" c="Em Aberto"/>
              <i n="[Tabela1].[Status].&amp;[Pago]" c="Pago"/>
            </range>
          </ranges>
        </level>
      </levels>
      <selections count="1">
        <selection n="[Tabela1].[Status].&amp;[Em Aberto]"/>
      </selections>
    </olap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tatus1" xr10:uid="{AF897F9D-4CFD-476B-96AF-8C55E6BB7AFB}" sourceName="Status">
  <pivotTables>
    <pivotTable tabId="15" name="Tabela dinâmica52"/>
  </pivotTables>
  <data>
    <tabular pivotCacheId="1403168728">
      <items count="3">
        <i x="0" s="1"/>
        <i x="2"/>
        <i x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tatus 1" xr10:uid="{B02F7736-5BC6-4757-A74D-1631EF7549D2}" cache="SegmentaçãodeDados_Status1" caption="Status" rowHeight="257175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tatus" xr10:uid="{9B011640-9200-4A13-815B-78A5479AB5B3}" cache="SegmentaçãodeDados_Status" caption="Status" columnCount="3" level="1" rowHeight="2520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8DF842-31F6-4D67-9EDC-7DA766FFF2BA}" name="T_Cliente" displayName="T_Cliente" ref="A5:E15" headerRowDxfId="46" headerRowBorderDxfId="53" tableBorderDxfId="54" totalsRowBorderDxfId="52">
  <autoFilter ref="A5:E15" xr:uid="{418DF842-31F6-4D67-9EDC-7DA766FFF2BA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E618A24C-709D-46CD-915E-C049223A1895}" name="Cliente" totalsRowLabel="Total" dataDxfId="51" totalsRowDxfId="33"/>
    <tableColumn id="2" xr3:uid="{D85F6DD0-FDBE-4DD7-9BC9-12D898601653}" name="Vencimento" dataDxfId="50" totalsRowDxfId="34"/>
    <tableColumn id="3" xr3:uid="{5B2C8DDB-BE01-491F-A61C-7554632C678B}" name="Pagamento" dataDxfId="49" totalsRowDxfId="35"/>
    <tableColumn id="4" xr3:uid="{B8BA3993-DE01-4DA5-8494-F7A2C12D31A0}" name="Valor" dataDxfId="48" totalsRowDxfId="36" dataCellStyle="Moeda"/>
    <tableColumn id="5" xr3:uid="{5CD9451F-AD96-40BA-8F86-3DFA5A8A370F}" name="Status" totalsRowFunction="count" dataDxfId="47" totalsRowDxfId="37">
      <calculatedColumnFormula>IF(C6="",IF(B6&lt;TODAY(),"Atraso","Em Aberto"),IF(B6&lt;C6,"Atraso","Pago"))</calculatedColumnFormula>
    </tableColumn>
  </tableColumns>
  <tableStyleInfo name="TableStyleMedium2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9C14223-8E38-448F-A560-D918BB9F4542}" name="T_Dados_qts" displayName="T_Dados_qts" ref="G5:J6" totalsRowShown="0" headerRowDxfId="38" headerRowBorderDxfId="44" tableBorderDxfId="45" totalsRowBorderDxfId="43">
  <autoFilter ref="G5:J6" xr:uid="{D9C14223-8E38-448F-A560-D918BB9F4542}">
    <filterColumn colId="0" hiddenButton="1"/>
    <filterColumn colId="1" hiddenButton="1"/>
    <filterColumn colId="2" hiddenButton="1"/>
    <filterColumn colId="3" hiddenButton="1"/>
  </autoFilter>
  <tableColumns count="4">
    <tableColumn id="1" xr3:uid="{38979BA5-A041-480F-8A5D-2518021D670F}" name="Qt/Atraso" dataDxfId="42">
      <calculatedColumnFormula>COUNTIFS(E6:E15,"Atraso")</calculatedColumnFormula>
    </tableColumn>
    <tableColumn id="2" xr3:uid="{2FF30159-A661-42E9-B61D-9611656D92F0}" name="Qt/Pagos" dataDxfId="41">
      <calculatedColumnFormula>COUNTIFS(E6:E15,"Pago")</calculatedColumnFormula>
    </tableColumn>
    <tableColumn id="3" xr3:uid="{15864969-7EAC-466B-909F-4ADA901D0223}" name="Qt/Aberto" dataDxfId="40">
      <calculatedColumnFormula>COUNTIFS(E6:E15,"Em Aberto")</calculatedColumnFormula>
    </tableColumn>
    <tableColumn id="4" xr3:uid="{AC955CCF-B530-4311-A2E5-0792F4B6AFFA}" name="Valor total Atraso" dataDxfId="39" dataCellStyle="Moeda">
      <calculatedColumnFormula>SUMIF(E6:E15,"Atraso",D6:D15)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2.xml"/><Relationship Id="rId6" Type="http://schemas.microsoft.com/office/2007/relationships/slicer" Target="../slicers/slicer2.xml"/><Relationship Id="rId5" Type="http://schemas.openxmlformats.org/officeDocument/2006/relationships/table" Target="../tables/table2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5BA45-5A55-4BD8-83AA-130AE3ABC3AD}">
  <dimension ref="A1:B10"/>
  <sheetViews>
    <sheetView workbookViewId="0">
      <selection activeCell="B3" sqref="B3"/>
    </sheetView>
  </sheetViews>
  <sheetFormatPr defaultRowHeight="15" x14ac:dyDescent="0.25"/>
  <cols>
    <col min="1" max="1" width="18.42578125" bestFit="1" customWidth="1"/>
    <col min="2" max="2" width="13.85546875" bestFit="1" customWidth="1"/>
    <col min="3" max="3" width="10.28515625" bestFit="1" customWidth="1"/>
    <col min="4" max="4" width="5.28515625" bestFit="1" customWidth="1"/>
    <col min="5" max="5" width="10.7109375" bestFit="1" customWidth="1"/>
  </cols>
  <sheetData>
    <row r="1" spans="1:2" x14ac:dyDescent="0.25">
      <c r="A1" s="16" t="s">
        <v>16</v>
      </c>
      <c r="B1" t="s">
        <v>23</v>
      </c>
    </row>
    <row r="3" spans="1:2" x14ac:dyDescent="0.25">
      <c r="A3" s="16" t="s">
        <v>21</v>
      </c>
      <c r="B3" t="s">
        <v>22</v>
      </c>
    </row>
    <row r="4" spans="1:2" x14ac:dyDescent="0.25">
      <c r="A4" s="17" t="s">
        <v>4</v>
      </c>
      <c r="B4" s="18">
        <v>1200</v>
      </c>
    </row>
    <row r="5" spans="1:2" x14ac:dyDescent="0.25">
      <c r="A5" s="17" t="s">
        <v>5</v>
      </c>
      <c r="B5" s="18">
        <v>800</v>
      </c>
    </row>
    <row r="6" spans="1:2" x14ac:dyDescent="0.25">
      <c r="A6" s="17" t="s">
        <v>7</v>
      </c>
      <c r="B6" s="18">
        <v>400</v>
      </c>
    </row>
    <row r="7" spans="1:2" x14ac:dyDescent="0.25">
      <c r="A7" s="17" t="s">
        <v>8</v>
      </c>
      <c r="B7" s="18">
        <v>950</v>
      </c>
    </row>
    <row r="8" spans="1:2" x14ac:dyDescent="0.25">
      <c r="A8" s="17" t="s">
        <v>10</v>
      </c>
      <c r="B8" s="18">
        <v>2000</v>
      </c>
    </row>
    <row r="9" spans="1:2" x14ac:dyDescent="0.25">
      <c r="A9" s="17" t="s">
        <v>12</v>
      </c>
      <c r="B9" s="18">
        <v>1100</v>
      </c>
    </row>
    <row r="10" spans="1:2" x14ac:dyDescent="0.25">
      <c r="A10" s="17" t="s">
        <v>24</v>
      </c>
      <c r="B10" s="18">
        <v>6450</v>
      </c>
    </row>
  </sheetData>
  <pageMargins left="0.511811024" right="0.511811024" top="0.78740157499999996" bottom="0.78740157499999996" header="0.31496062000000002" footer="0.31496062000000002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51797-2CB7-481D-BC82-815DC7395F45}">
  <sheetPr codeName="Planilha3">
    <tabColor rgb="FF92D050"/>
  </sheetPr>
  <dimension ref="A1:M15"/>
  <sheetViews>
    <sheetView tabSelected="1" topLeftCell="B1" zoomScaleNormal="100" zoomScaleSheetLayoutView="57" workbookViewId="0">
      <selection activeCell="N13" sqref="N13"/>
    </sheetView>
  </sheetViews>
  <sheetFormatPr defaultRowHeight="15" x14ac:dyDescent="0.25"/>
  <cols>
    <col min="1" max="4" width="14.7109375" customWidth="1"/>
    <col min="5" max="5" width="17" customWidth="1"/>
    <col min="7" max="7" width="11.85546875" customWidth="1"/>
    <col min="8" max="8" width="18.5703125" bestFit="1" customWidth="1"/>
    <col min="9" max="9" width="13" customWidth="1"/>
    <col min="10" max="10" width="18.85546875" customWidth="1"/>
    <col min="11" max="11" width="11.7109375" customWidth="1"/>
    <col min="12" max="12" width="18.5703125" bestFit="1" customWidth="1"/>
    <col min="13" max="13" width="4" bestFit="1" customWidth="1"/>
    <col min="14" max="14" width="18.42578125" customWidth="1"/>
  </cols>
  <sheetData>
    <row r="1" spans="1:13" x14ac:dyDescent="0.25">
      <c r="B1" s="26" t="s">
        <v>15</v>
      </c>
      <c r="C1" s="26"/>
      <c r="D1" s="26"/>
    </row>
    <row r="2" spans="1:13" x14ac:dyDescent="0.25">
      <c r="B2" s="26"/>
      <c r="C2" s="26"/>
      <c r="D2" s="26"/>
    </row>
    <row r="3" spans="1:13" x14ac:dyDescent="0.25">
      <c r="A3" s="23" t="s">
        <v>14</v>
      </c>
      <c r="B3" s="23"/>
      <c r="C3" s="23"/>
      <c r="D3" s="23"/>
      <c r="E3" s="23"/>
      <c r="F3" s="23"/>
      <c r="G3" s="23"/>
      <c r="H3" s="23"/>
    </row>
    <row r="5" spans="1:13" x14ac:dyDescent="0.25">
      <c r="A5" s="8" t="s">
        <v>0</v>
      </c>
      <c r="B5" s="8" t="s">
        <v>1</v>
      </c>
      <c r="C5" s="8" t="s">
        <v>2</v>
      </c>
      <c r="D5" s="8" t="s">
        <v>3</v>
      </c>
      <c r="E5" s="9" t="s">
        <v>16</v>
      </c>
      <c r="G5" s="7" t="s">
        <v>17</v>
      </c>
      <c r="H5" s="8" t="s">
        <v>18</v>
      </c>
      <c r="I5" s="8" t="s">
        <v>19</v>
      </c>
      <c r="J5" s="9" t="s">
        <v>20</v>
      </c>
      <c r="K5" s="19" t="s">
        <v>0</v>
      </c>
      <c r="L5" s="19" t="s">
        <v>25</v>
      </c>
      <c r="M5" s="3"/>
    </row>
    <row r="6" spans="1:13" x14ac:dyDescent="0.25">
      <c r="A6" s="7" t="s">
        <v>4</v>
      </c>
      <c r="B6" s="22">
        <v>46083</v>
      </c>
      <c r="C6" s="22">
        <v>46086</v>
      </c>
      <c r="D6" s="4">
        <v>1200</v>
      </c>
      <c r="E6" s="6" t="str">
        <f ca="1">IF(C6="",IF(B6&lt;TODAY(),"Atraso","Em Aberto"),IF(B6&lt;C6,"Atraso","Pago"))</f>
        <v>Atraso</v>
      </c>
      <c r="G6" s="10">
        <f ca="1">COUNTIFS(E6:E15,"Atraso")</f>
        <v>6</v>
      </c>
      <c r="H6" s="12">
        <f ca="1">COUNTIFS(E6:E15,"Pago")</f>
        <v>3</v>
      </c>
      <c r="I6" s="12">
        <f ca="1">COUNTIFS(E6:E15,"Em Aberto")</f>
        <v>1</v>
      </c>
      <c r="J6" s="15">
        <f ca="1">SUMIF(E6:E15,"Atraso",D6:D15)</f>
        <v>6450</v>
      </c>
      <c r="K6" s="3" t="s">
        <v>13</v>
      </c>
      <c r="L6" s="3" t="s">
        <v>27</v>
      </c>
      <c r="M6" s="20">
        <v>1</v>
      </c>
    </row>
    <row r="7" spans="1:13" x14ac:dyDescent="0.25">
      <c r="A7" s="5" t="s">
        <v>5</v>
      </c>
      <c r="B7" s="2">
        <v>46096</v>
      </c>
      <c r="C7" s="2"/>
      <c r="D7" s="4">
        <v>800</v>
      </c>
      <c r="E7" s="6" t="str">
        <f t="shared" ref="E7:E15" ca="1" si="0">IF(C7="",IF(B7&lt;TODAY(),"Atraso","Em Aberto"),IF(B7&lt;C7,"Atraso","Pago"))</f>
        <v>Atraso</v>
      </c>
      <c r="K7" s="3"/>
      <c r="L7" s="3" t="s">
        <v>22</v>
      </c>
      <c r="M7" s="20">
        <v>700</v>
      </c>
    </row>
    <row r="8" spans="1:13" x14ac:dyDescent="0.25">
      <c r="A8" s="5" t="s">
        <v>6</v>
      </c>
      <c r="B8" s="2">
        <v>46091</v>
      </c>
      <c r="C8" s="2">
        <v>46090</v>
      </c>
      <c r="D8" s="4">
        <v>1500</v>
      </c>
      <c r="E8" s="6" t="str">
        <f t="shared" ca="1" si="0"/>
        <v>Pago</v>
      </c>
      <c r="G8" s="23" t="s">
        <v>29</v>
      </c>
      <c r="H8" s="23"/>
      <c r="I8" s="1" t="str">
        <f ca="1">_xlfn.XLOOKUP(_xlfn.MAXIFS(T_Cliente[Valor],T_Cliente[Status],"Atraso"),T_Cliente[Valor],T_Cliente[Cliente])</f>
        <v>Empresa G</v>
      </c>
      <c r="J8" s="24"/>
      <c r="K8" s="21" t="s">
        <v>28</v>
      </c>
      <c r="L8" s="3"/>
      <c r="M8" s="20">
        <v>1</v>
      </c>
    </row>
    <row r="9" spans="1:13" x14ac:dyDescent="0.25">
      <c r="A9" s="5" t="s">
        <v>7</v>
      </c>
      <c r="B9" s="2">
        <v>46082</v>
      </c>
      <c r="C9" s="2"/>
      <c r="D9" s="4">
        <v>400</v>
      </c>
      <c r="E9" s="6" t="str">
        <f t="shared" ca="1" si="0"/>
        <v>Atraso</v>
      </c>
      <c r="G9" s="23" t="s">
        <v>24</v>
      </c>
      <c r="H9" s="23"/>
      <c r="I9" s="25">
        <f>SUM(T_Cliente[Valor])</f>
        <v>9550</v>
      </c>
      <c r="K9" s="21" t="s">
        <v>26</v>
      </c>
      <c r="L9" s="3"/>
      <c r="M9" s="20">
        <v>700</v>
      </c>
    </row>
    <row r="10" spans="1:13" x14ac:dyDescent="0.25">
      <c r="A10" s="5" t="s">
        <v>8</v>
      </c>
      <c r="B10" s="2">
        <v>46101</v>
      </c>
      <c r="C10" s="2">
        <v>46103</v>
      </c>
      <c r="D10" s="4">
        <v>950</v>
      </c>
      <c r="E10" s="6" t="str">
        <f t="shared" ca="1" si="0"/>
        <v>Atraso</v>
      </c>
      <c r="G10" s="23" t="s">
        <v>30</v>
      </c>
      <c r="H10" s="23"/>
      <c r="I10" s="4">
        <f ca="1">AVERAGEIF(T_Cliente[Status],"Pago",T_Cliente[Valor])</f>
        <v>800</v>
      </c>
    </row>
    <row r="11" spans="1:13" x14ac:dyDescent="0.25">
      <c r="A11" s="5" t="s">
        <v>9</v>
      </c>
      <c r="B11" s="2">
        <v>46106</v>
      </c>
      <c r="C11" s="2">
        <v>46105</v>
      </c>
      <c r="D11" s="4">
        <v>300</v>
      </c>
      <c r="E11" s="6" t="str">
        <f t="shared" ca="1" si="0"/>
        <v>Pago</v>
      </c>
    </row>
    <row r="12" spans="1:13" x14ac:dyDescent="0.25">
      <c r="A12" s="5" t="s">
        <v>10</v>
      </c>
      <c r="B12" s="2">
        <v>46086</v>
      </c>
      <c r="C12" s="2">
        <v>46105</v>
      </c>
      <c r="D12" s="4">
        <v>2000</v>
      </c>
      <c r="E12" s="6" t="str">
        <f t="shared" ca="1" si="0"/>
        <v>Atraso</v>
      </c>
    </row>
    <row r="13" spans="1:13" x14ac:dyDescent="0.25">
      <c r="A13" s="5" t="s">
        <v>11</v>
      </c>
      <c r="B13" s="2">
        <v>46099</v>
      </c>
      <c r="C13" s="2">
        <v>46098</v>
      </c>
      <c r="D13" s="4">
        <v>600</v>
      </c>
      <c r="E13" s="6" t="str">
        <f t="shared" ca="1" si="0"/>
        <v>Pago</v>
      </c>
    </row>
    <row r="14" spans="1:13" x14ac:dyDescent="0.25">
      <c r="A14" s="5" t="s">
        <v>12</v>
      </c>
      <c r="B14" s="2">
        <v>46089</v>
      </c>
      <c r="C14" s="2">
        <v>46093</v>
      </c>
      <c r="D14" s="4">
        <v>1100</v>
      </c>
      <c r="E14" s="6" t="str">
        <f t="shared" ca="1" si="0"/>
        <v>Atraso</v>
      </c>
    </row>
    <row r="15" spans="1:13" x14ac:dyDescent="0.25">
      <c r="A15" s="10" t="s">
        <v>13</v>
      </c>
      <c r="B15" s="11">
        <v>46109</v>
      </c>
      <c r="C15" s="12"/>
      <c r="D15" s="13">
        <v>700</v>
      </c>
      <c r="E15" s="14" t="str">
        <f t="shared" ca="1" si="0"/>
        <v>Em Aberto</v>
      </c>
    </row>
  </sheetData>
  <mergeCells count="5">
    <mergeCell ref="G10:H10"/>
    <mergeCell ref="A3:H3"/>
    <mergeCell ref="B1:D2"/>
    <mergeCell ref="G8:H8"/>
    <mergeCell ref="G9:H9"/>
  </mergeCells>
  <conditionalFormatting sqref="E6:E15">
    <cfRule type="containsText" dxfId="30" priority="3" operator="containsText" text="Atraso">
      <formula>NOT(ISERROR(SEARCH("Atraso",E6)))</formula>
    </cfRule>
    <cfRule type="containsText" dxfId="32" priority="2" operator="containsText" text="Pago">
      <formula>NOT(ISERROR(SEARCH("Pago",E6)))</formula>
    </cfRule>
    <cfRule type="containsText" dxfId="31" priority="1" operator="containsText" text="Em aberto">
      <formula>NOT(ISERROR(SEARCH("Em aberto",E6)))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  <tableParts count="2">
    <tablePart r:id="rId4"/>
    <tablePart r:id="rId5"/>
  </tableParts>
  <extLst>
    <ext xmlns:x14="http://schemas.microsoft.com/office/spreadsheetml/2009/9/main" uri="{A8765BA9-456A-4dab-B4F3-ACF838C121DE}">
      <x14:slicerList>
        <x14:slicer r:id="rId6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BFBABD7A-BB4A-4765-87D8-AEF016FEA665}">
  <ds:schemaRefs/>
</ds:datastoreItem>
</file>

<file path=customXml/itemProps2.xml><?xml version="1.0" encoding="utf-8"?>
<ds:datastoreItem xmlns:ds="http://schemas.openxmlformats.org/officeDocument/2006/customXml" ds:itemID="{07C6A95A-E683-4CFE-8044-FCDB01A41A00}">
  <ds:schemaRefs/>
</ds:datastoreItem>
</file>

<file path=customXml/itemProps3.xml><?xml version="1.0" encoding="utf-8"?>
<ds:datastoreItem xmlns:ds="http://schemas.openxmlformats.org/officeDocument/2006/customXml" ds:itemID="{6A09C9B0-1F27-4256-ABC4-CA1D27CD5B1E}">
  <ds:schemaRefs/>
</ds:datastoreItem>
</file>

<file path=customXml/itemProps4.xml><?xml version="1.0" encoding="utf-8"?>
<ds:datastoreItem xmlns:ds="http://schemas.openxmlformats.org/officeDocument/2006/customXml" ds:itemID="{ED044E7C-E954-4745-A77F-842A58CD2F9E}">
  <ds:schemaRefs/>
</ds:datastoreItem>
</file>

<file path=customXml/itemProps5.xml><?xml version="1.0" encoding="utf-8"?>
<ds:datastoreItem xmlns:ds="http://schemas.openxmlformats.org/officeDocument/2006/customXml" ds:itemID="{8A288572-C429-4854-9CFF-60A5A416F5F6}">
  <ds:schemaRefs/>
</ds:datastoreItem>
</file>

<file path=customXml/itemProps6.xml><?xml version="1.0" encoding="utf-8"?>
<ds:datastoreItem xmlns:ds="http://schemas.openxmlformats.org/officeDocument/2006/customXml" ds:itemID="{BC555B5B-BD18-4804-83FF-A23AA66E20D8}">
  <ds:schemaRefs/>
</ds:datastoreItem>
</file>

<file path=customXml/itemProps7.xml><?xml version="1.0" encoding="utf-8"?>
<ds:datastoreItem xmlns:ds="http://schemas.openxmlformats.org/officeDocument/2006/customXml" ds:itemID="{656E8C9C-5DF8-4AAA-B9BB-5F53D8C39927}">
  <ds:schemaRefs/>
</ds:datastoreItem>
</file>

<file path=customXml/itemProps8.xml><?xml version="1.0" encoding="utf-8"?>
<ds:datastoreItem xmlns:ds="http://schemas.openxmlformats.org/officeDocument/2006/customXml" ds:itemID="{2B235111-680D-4CBD-82F0-BE5F869B3879}">
  <ds:schemaRefs/>
</ds:datastoreItem>
</file>

<file path=customXml/itemProps9.xml><?xml version="1.0" encoding="utf-8"?>
<ds:datastoreItem xmlns:ds="http://schemas.openxmlformats.org/officeDocument/2006/customXml" ds:itemID="{8821AACC-FB22-446F-A9B5-6E67B55CBCF8}">
  <ds:schemaRefs/>
</ds:datastoreItem>
</file>

<file path=customXml/itemProps10.xml><?xml version="1.0" encoding="utf-8"?>
<ds:datastoreItem xmlns:ds="http://schemas.openxmlformats.org/officeDocument/2006/customXml" ds:itemID="{43BC732B-ED10-4C47-B926-D7B83EC447A5}">
  <ds:schemaRefs/>
</ds:datastoreItem>
</file>

<file path=customXml/itemProps11.xml><?xml version="1.0" encoding="utf-8"?>
<ds:datastoreItem xmlns:ds="http://schemas.openxmlformats.org/officeDocument/2006/customXml" ds:itemID="{B8AC29DD-0053-4464-8C0B-9B5025188FF0}">
  <ds:schemaRefs/>
</ds:datastoreItem>
</file>

<file path=customXml/itemProps12.xml><?xml version="1.0" encoding="utf-8"?>
<ds:datastoreItem xmlns:ds="http://schemas.openxmlformats.org/officeDocument/2006/customXml" ds:itemID="{14D62B48-762B-4979-B9C4-0CBCD6E38814}">
  <ds:schemaRefs/>
</ds:datastoreItem>
</file>

<file path=customXml/itemProps13.xml><?xml version="1.0" encoding="utf-8"?>
<ds:datastoreItem xmlns:ds="http://schemas.openxmlformats.org/officeDocument/2006/customXml" ds:itemID="{0112E361-31FA-4341-820A-FB16EECC7F4C}">
  <ds:schemaRefs/>
</ds:datastoreItem>
</file>

<file path=customXml/itemProps14.xml><?xml version="1.0" encoding="utf-8"?>
<ds:datastoreItem xmlns:ds="http://schemas.openxmlformats.org/officeDocument/2006/customXml" ds:itemID="{E6D1865B-00E0-4A84-8D4F-2CC5AD42A8B6}">
  <ds:schemaRefs/>
</ds:datastoreItem>
</file>

<file path=customXml/itemProps15.xml><?xml version="1.0" encoding="utf-8"?>
<ds:datastoreItem xmlns:ds="http://schemas.openxmlformats.org/officeDocument/2006/customXml" ds:itemID="{54D0532A-E0C8-4B82-9AF8-EC15185F4200}">
  <ds:schemaRefs/>
</ds:datastoreItem>
</file>

<file path=customXml/itemProps16.xml><?xml version="1.0" encoding="utf-8"?>
<ds:datastoreItem xmlns:ds="http://schemas.openxmlformats.org/officeDocument/2006/customXml" ds:itemID="{DB756307-192D-4C35-A195-82E9A61031F8}">
  <ds:schemaRefs/>
</ds:datastoreItem>
</file>

<file path=customXml/itemProps17.xml><?xml version="1.0" encoding="utf-8"?>
<ds:datastoreItem xmlns:ds="http://schemas.openxmlformats.org/officeDocument/2006/customXml" ds:itemID="{226A5BCF-77D9-450C-96AF-D42E3424010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Planilha15</vt:lpstr>
      <vt:lpstr>Dados|Clientes</vt:lpstr>
      <vt:lpstr>Status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Robson da Silva Gomes</dc:creator>
  <cp:lastModifiedBy>Robson da Silva Gomes</cp:lastModifiedBy>
  <dcterms:created xsi:type="dcterms:W3CDTF">2026-03-18T01:13:57Z</dcterms:created>
  <dcterms:modified xsi:type="dcterms:W3CDTF">2026-03-19T22:30:01Z</dcterms:modified>
</cp:coreProperties>
</file>